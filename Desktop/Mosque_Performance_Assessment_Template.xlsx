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que Performanc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rkaz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Mosque Performance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'Dashboard'!$A$2:$A$38</f>
            </numRef>
          </cat>
          <val>
            <numRef>
              <f>'Dashboard'!$B$2:$B$38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Mosques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Performance Share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'Dashboard'!$E$2:$E$6</f>
            </numRef>
          </cat>
          <val>
            <numRef>
              <f>'Dashboard'!$F$2:$F$6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'Dashboard'!$A$2:$A$38</f>
            </numRef>
          </cat>
          <val>
            <numRef>
              <f>'Dashboard'!$B$2:$B$38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2" customWidth="1" min="4" max="4"/>
    <col width="18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5" customWidth="1" min="16" max="16"/>
    <col width="18" customWidth="1" min="17" max="17"/>
    <col width="20" customWidth="1" min="18" max="18"/>
    <col width="18" customWidth="1" min="19" max="19"/>
    <col width="22" customWidth="1" min="20" max="20"/>
    <col width="18" customWidth="1" min="21" max="21"/>
    <col width="16" customWidth="1" min="22" max="22"/>
    <col width="18" customWidth="1" min="23" max="23"/>
    <col width="20" customWidth="1" min="24" max="24"/>
    <col width="20" customWidth="1" min="25" max="25"/>
    <col width="22" customWidth="1" min="26" max="26"/>
    <col width="18" customWidth="1" min="27" max="27"/>
    <col width="22" customWidth="1" min="28" max="28"/>
  </cols>
  <sheetData>
    <row r="1">
      <c r="A1" s="1" t="inlineStr">
        <is>
          <t>Mosque ID</t>
        </is>
      </c>
      <c r="B1" s="1" t="inlineStr">
        <is>
          <t>Mosque Name</t>
        </is>
      </c>
      <c r="C1" s="1" t="inlineStr">
        <is>
          <t>Location</t>
        </is>
      </c>
      <c r="D1" s="1" t="inlineStr">
        <is>
          <t>Imam/Leader Name</t>
        </is>
      </c>
      <c r="E1" s="1" t="inlineStr">
        <is>
          <t>Contact Number</t>
        </is>
      </c>
      <c r="F1" s="1" t="inlineStr">
        <is>
          <t>Truthfulness (Sidq)</t>
        </is>
      </c>
      <c r="G1" s="1" t="inlineStr">
        <is>
          <t>Trustworthiness (Amanah)</t>
        </is>
      </c>
      <c r="H1" s="1" t="inlineStr">
        <is>
          <t>Conveying Message (Tabligh)</t>
        </is>
      </c>
      <c r="I1" s="1" t="inlineStr">
        <is>
          <t>Wisdom in Dawah (Hikmah)</t>
        </is>
      </c>
      <c r="J1" s="1" t="inlineStr">
        <is>
          <t>Patience &amp; Perseverance (Sabr)</t>
        </is>
      </c>
      <c r="K1" s="1" t="inlineStr">
        <is>
          <t>Compassion &amp; Mercy (Rahmah)</t>
        </is>
      </c>
      <c r="L1" s="1" t="inlineStr">
        <is>
          <t>Good Character (Akhlaq)</t>
        </is>
      </c>
      <c r="M1" s="1" t="inlineStr">
        <is>
          <t>Community Service (Khidmat)</t>
        </is>
      </c>
      <c r="N1" s="1" t="inlineStr">
        <is>
          <t>Justice &amp; Fairness (Adl)</t>
        </is>
      </c>
      <c r="O1" s="1" t="inlineStr">
        <is>
          <t>Encouraging Knowledge (Ilm)</t>
        </is>
      </c>
      <c r="P1" s="1" t="inlineStr">
        <is>
          <t>Youth Engagement</t>
        </is>
      </c>
      <c r="Q1" s="1" t="inlineStr">
        <is>
          <t>Women’s Participation</t>
        </is>
      </c>
      <c r="R1" s="1" t="inlineStr">
        <is>
          <t>Social Outreach Programs</t>
        </is>
      </c>
      <c r="S1" s="1" t="inlineStr">
        <is>
          <t>Interfaith Dialogue</t>
        </is>
      </c>
      <c r="T1" s="1" t="inlineStr">
        <is>
          <t>Charity &amp; Welfare Activities</t>
        </is>
      </c>
      <c r="U1" s="1" t="inlineStr">
        <is>
          <t>Monthly Dawah Programs</t>
        </is>
      </c>
      <c r="V1" s="1" t="inlineStr">
        <is>
          <t>Attendance Avg.</t>
        </is>
      </c>
      <c r="W1" s="1" t="inlineStr">
        <is>
          <t>Community Feedback (1-5)</t>
        </is>
      </c>
      <c r="X1" s="1" t="inlineStr">
        <is>
          <t>Volunteer Training Sessions</t>
        </is>
      </c>
      <c r="Y1" s="1" t="inlineStr">
        <is>
          <t>New Learners/Converts</t>
        </is>
      </c>
      <c r="Z1" s="1" t="inlineStr">
        <is>
          <t>Online Dawah Activities</t>
        </is>
      </c>
      <c r="AA1" s="1" t="inlineStr">
        <is>
          <t>Financial Transparency</t>
        </is>
      </c>
      <c r="AB1" s="1" t="inlineStr">
        <is>
          <t>Overall Performance Score</t>
        </is>
      </c>
    </row>
    <row r="2">
      <c r="A2" s="2" t="inlineStr">
        <is>
          <t>M001</t>
        </is>
      </c>
      <c r="B2" s="2" t="inlineStr">
        <is>
          <t>Mosque 1</t>
        </is>
      </c>
      <c r="C2" s="2" t="inlineStr"/>
      <c r="D2" s="2" t="inlineStr"/>
      <c r="E2" s="2" t="inlineStr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>
        <f>ROUND((AVERAGE(F2:T2)*0.6)+((U2+V2+W2+X2+Y2+Z2)/6*0.3)+(IF(AA2="Yes",5,2)*0.1),2)</f>
        <v/>
      </c>
    </row>
    <row r="3">
      <c r="A3" s="2" t="inlineStr">
        <is>
          <t>M002</t>
        </is>
      </c>
      <c r="B3" s="2" t="inlineStr">
        <is>
          <t>Mosque 2</t>
        </is>
      </c>
      <c r="C3" s="2" t="inlineStr"/>
      <c r="D3" s="2" t="inlineStr"/>
      <c r="E3" s="2" t="inlineStr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>
        <f>ROUND((AVERAGE(F3:T3)*0.6)+((U3+V3+W3+X3+Y3+Z3)/6*0.3)+(IF(AA3="Yes",5,2)*0.1),2)</f>
        <v/>
      </c>
    </row>
    <row r="4">
      <c r="A4" s="2" t="inlineStr">
        <is>
          <t>M003</t>
        </is>
      </c>
      <c r="B4" s="2" t="inlineStr">
        <is>
          <t>Mosque 3</t>
        </is>
      </c>
      <c r="C4" s="2" t="inlineStr"/>
      <c r="D4" s="2" t="inlineStr"/>
      <c r="E4" s="2" t="inlineStr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>
        <f>ROUND((AVERAGE(F4:T4)*0.6)+((U4+V4+W4+X4+Y4+Z4)/6*0.3)+(IF(AA4="Yes",5,2)*0.1),2)</f>
        <v/>
      </c>
    </row>
    <row r="5">
      <c r="A5" s="2" t="inlineStr">
        <is>
          <t>M004</t>
        </is>
      </c>
      <c r="B5" s="2" t="inlineStr">
        <is>
          <t>Mosque 4</t>
        </is>
      </c>
      <c r="C5" s="2" t="inlineStr"/>
      <c r="D5" s="2" t="inlineStr"/>
      <c r="E5" s="2" t="inlineStr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>
        <f>ROUND((AVERAGE(F5:T5)*0.6)+((U5+V5+W5+X5+Y5+Z5)/6*0.3)+(IF(AA5="Yes",5,2)*0.1),2)</f>
        <v/>
      </c>
    </row>
    <row r="6">
      <c r="A6" s="2" t="inlineStr">
        <is>
          <t>M005</t>
        </is>
      </c>
      <c r="B6" s="2" t="inlineStr">
        <is>
          <t>Mosque 5</t>
        </is>
      </c>
      <c r="C6" s="2" t="inlineStr"/>
      <c r="D6" s="2" t="inlineStr"/>
      <c r="E6" s="2" t="inlineStr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>
        <f>ROUND((AVERAGE(F6:T6)*0.6)+((U6+V6+W6+X6+Y6+Z6)/6*0.3)+(IF(AA6="Yes",5,2)*0.1),2)</f>
        <v/>
      </c>
    </row>
    <row r="7">
      <c r="A7" s="2" t="inlineStr">
        <is>
          <t>M006</t>
        </is>
      </c>
      <c r="B7" s="2" t="inlineStr">
        <is>
          <t>Mosque 6</t>
        </is>
      </c>
      <c r="C7" s="2" t="inlineStr"/>
      <c r="D7" s="2" t="inlineStr"/>
      <c r="E7" s="2" t="inlineStr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>
        <f>ROUND((AVERAGE(F7:T7)*0.6)+((U7+V7+W7+X7+Y7+Z7)/6*0.3)+(IF(AA7="Yes",5,2)*0.1),2)</f>
        <v/>
      </c>
    </row>
    <row r="8">
      <c r="A8" s="2" t="inlineStr">
        <is>
          <t>M007</t>
        </is>
      </c>
      <c r="B8" s="2" t="inlineStr">
        <is>
          <t>Mosque 7</t>
        </is>
      </c>
      <c r="C8" s="2" t="inlineStr"/>
      <c r="D8" s="2" t="inlineStr"/>
      <c r="E8" s="2" t="inlineStr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>
        <f>ROUND((AVERAGE(F8:T8)*0.6)+((U8+V8+W8+X8+Y8+Z8)/6*0.3)+(IF(AA8="Yes",5,2)*0.1),2)</f>
        <v/>
      </c>
    </row>
    <row r="9">
      <c r="A9" s="2" t="inlineStr">
        <is>
          <t>M008</t>
        </is>
      </c>
      <c r="B9" s="2" t="inlineStr">
        <is>
          <t>Mosque 8</t>
        </is>
      </c>
      <c r="C9" s="2" t="inlineStr"/>
      <c r="D9" s="2" t="inlineStr"/>
      <c r="E9" s="2" t="inlineStr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>
        <f>ROUND((AVERAGE(F9:T9)*0.6)+((U9+V9+W9+X9+Y9+Z9)/6*0.3)+(IF(AA9="Yes",5,2)*0.1),2)</f>
        <v/>
      </c>
    </row>
    <row r="10">
      <c r="A10" s="2" t="inlineStr">
        <is>
          <t>M009</t>
        </is>
      </c>
      <c r="B10" s="2" t="inlineStr">
        <is>
          <t>Mosque 9</t>
        </is>
      </c>
      <c r="C10" s="2" t="inlineStr"/>
      <c r="D10" s="2" t="inlineStr"/>
      <c r="E10" s="2" t="inlineStr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>
        <f>ROUND((AVERAGE(F10:T10)*0.6)+((U10+V10+W10+X10+Y10+Z10)/6*0.3)+(IF(AA10="Yes",5,2)*0.1),2)</f>
        <v/>
      </c>
    </row>
    <row r="11">
      <c r="A11" s="2" t="inlineStr">
        <is>
          <t>M010</t>
        </is>
      </c>
      <c r="B11" s="2" t="inlineStr">
        <is>
          <t>Mosque 10</t>
        </is>
      </c>
      <c r="C11" s="2" t="inlineStr"/>
      <c r="D11" s="2" t="inlineStr"/>
      <c r="E11" s="2" t="inlineStr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>
        <f>ROUND((AVERAGE(F11:T11)*0.6)+((U11+V11+W11+X11+Y11+Z11)/6*0.3)+(IF(AA11="Yes",5,2)*0.1),2)</f>
        <v/>
      </c>
    </row>
    <row r="12">
      <c r="A12" s="2" t="inlineStr">
        <is>
          <t>M011</t>
        </is>
      </c>
      <c r="B12" s="2" t="inlineStr">
        <is>
          <t>Mosque 11</t>
        </is>
      </c>
      <c r="C12" s="2" t="inlineStr"/>
      <c r="D12" s="2" t="inlineStr"/>
      <c r="E12" s="2" t="inlineStr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>
        <f>ROUND((AVERAGE(F12:T12)*0.6)+((U12+V12+W12+X12+Y12+Z12)/6*0.3)+(IF(AA12="Yes",5,2)*0.1),2)</f>
        <v/>
      </c>
    </row>
    <row r="13">
      <c r="A13" s="2" t="inlineStr">
        <is>
          <t>M012</t>
        </is>
      </c>
      <c r="B13" s="2" t="inlineStr">
        <is>
          <t>Mosque 12</t>
        </is>
      </c>
      <c r="C13" s="2" t="inlineStr"/>
      <c r="D13" s="2" t="inlineStr"/>
      <c r="E13" s="2" t="inlineStr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>
        <f>ROUND((AVERAGE(F13:T13)*0.6)+((U13+V13+W13+X13+Y13+Z13)/6*0.3)+(IF(AA13="Yes",5,2)*0.1),2)</f>
        <v/>
      </c>
    </row>
    <row r="14">
      <c r="A14" s="2" t="inlineStr">
        <is>
          <t>M013</t>
        </is>
      </c>
      <c r="B14" s="2" t="inlineStr">
        <is>
          <t>Mosque 13</t>
        </is>
      </c>
      <c r="C14" s="2" t="inlineStr"/>
      <c r="D14" s="2" t="inlineStr"/>
      <c r="E14" s="2" t="inlineStr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>
        <f>ROUND((AVERAGE(F14:T14)*0.6)+((U14+V14+W14+X14+Y14+Z14)/6*0.3)+(IF(AA14="Yes",5,2)*0.1),2)</f>
        <v/>
      </c>
    </row>
    <row r="15">
      <c r="A15" s="2" t="inlineStr">
        <is>
          <t>M014</t>
        </is>
      </c>
      <c r="B15" s="2" t="inlineStr">
        <is>
          <t>Mosque 14</t>
        </is>
      </c>
      <c r="C15" s="2" t="inlineStr"/>
      <c r="D15" s="2" t="inlineStr"/>
      <c r="E15" s="2" t="inlineStr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>
        <f>ROUND((AVERAGE(F15:T15)*0.6)+((U15+V15+W15+X15+Y15+Z15)/6*0.3)+(IF(AA15="Yes",5,2)*0.1),2)</f>
        <v/>
      </c>
    </row>
    <row r="16">
      <c r="A16" s="2" t="inlineStr">
        <is>
          <t>M015</t>
        </is>
      </c>
      <c r="B16" s="2" t="inlineStr">
        <is>
          <t>Mosque 15</t>
        </is>
      </c>
      <c r="C16" s="2" t="inlineStr"/>
      <c r="D16" s="2" t="inlineStr"/>
      <c r="E16" s="2" t="inlineStr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>
        <f>ROUND((AVERAGE(F16:T16)*0.6)+((U16+V16+W16+X16+Y16+Z16)/6*0.3)+(IF(AA16="Yes",5,2)*0.1),2)</f>
        <v/>
      </c>
    </row>
    <row r="17">
      <c r="A17" s="2" t="inlineStr">
        <is>
          <t>M016</t>
        </is>
      </c>
      <c r="B17" s="2" t="inlineStr">
        <is>
          <t>Mosque 16</t>
        </is>
      </c>
      <c r="C17" s="2" t="inlineStr"/>
      <c r="D17" s="2" t="inlineStr"/>
      <c r="E17" s="2" t="inlineStr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>
        <f>ROUND((AVERAGE(F17:T17)*0.6)+((U17+V17+W17+X17+Y17+Z17)/6*0.3)+(IF(AA17="Yes",5,2)*0.1),2)</f>
        <v/>
      </c>
    </row>
    <row r="18">
      <c r="A18" s="2" t="inlineStr">
        <is>
          <t>M017</t>
        </is>
      </c>
      <c r="B18" s="2" t="inlineStr">
        <is>
          <t>Mosque 17</t>
        </is>
      </c>
      <c r="C18" s="2" t="inlineStr"/>
      <c r="D18" s="2" t="inlineStr"/>
      <c r="E18" s="2" t="inlineStr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>
        <f>ROUND((AVERAGE(F18:T18)*0.6)+((U18+V18+W18+X18+Y18+Z18)/6*0.3)+(IF(AA18="Yes",5,2)*0.1),2)</f>
        <v/>
      </c>
    </row>
    <row r="19">
      <c r="A19" s="2" t="inlineStr">
        <is>
          <t>M018</t>
        </is>
      </c>
      <c r="B19" s="2" t="inlineStr">
        <is>
          <t>Mosque 18</t>
        </is>
      </c>
      <c r="C19" s="2" t="inlineStr"/>
      <c r="D19" s="2" t="inlineStr"/>
      <c r="E19" s="2" t="inlineStr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>
        <f>ROUND((AVERAGE(F19:T19)*0.6)+((U19+V19+W19+X19+Y19+Z19)/6*0.3)+(IF(AA19="Yes",5,2)*0.1),2)</f>
        <v/>
      </c>
    </row>
    <row r="20">
      <c r="A20" s="2" t="inlineStr">
        <is>
          <t>M019</t>
        </is>
      </c>
      <c r="B20" s="2" t="inlineStr">
        <is>
          <t>Mosque 19</t>
        </is>
      </c>
      <c r="C20" s="2" t="inlineStr"/>
      <c r="D20" s="2" t="inlineStr"/>
      <c r="E20" s="2" t="inlineStr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>
        <f>ROUND((AVERAGE(F20:T20)*0.6)+((U20+V20+W20+X20+Y20+Z20)/6*0.3)+(IF(AA20="Yes",5,2)*0.1),2)</f>
        <v/>
      </c>
    </row>
    <row r="21">
      <c r="A21" s="2" t="inlineStr">
        <is>
          <t>M020</t>
        </is>
      </c>
      <c r="B21" s="2" t="inlineStr">
        <is>
          <t>Mosque 20</t>
        </is>
      </c>
      <c r="C21" s="2" t="inlineStr"/>
      <c r="D21" s="2" t="inlineStr"/>
      <c r="E21" s="2" t="inlineStr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>
        <f>ROUND((AVERAGE(F21:T21)*0.6)+((U21+V21+W21+X21+Y21+Z21)/6*0.3)+(IF(AA21="Yes",5,2)*0.1),2)</f>
        <v/>
      </c>
    </row>
    <row r="22">
      <c r="A22" s="2" t="inlineStr">
        <is>
          <t>M021</t>
        </is>
      </c>
      <c r="B22" s="2" t="inlineStr">
        <is>
          <t>Mosque 21</t>
        </is>
      </c>
      <c r="C22" s="2" t="inlineStr"/>
      <c r="D22" s="2" t="inlineStr"/>
      <c r="E22" s="2" t="inlineStr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>
        <f>ROUND((AVERAGE(F22:T22)*0.6)+((U22+V22+W22+X22+Y22+Z22)/6*0.3)+(IF(AA22="Yes",5,2)*0.1),2)</f>
        <v/>
      </c>
    </row>
    <row r="23">
      <c r="A23" s="2" t="inlineStr">
        <is>
          <t>M022</t>
        </is>
      </c>
      <c r="B23" s="2" t="inlineStr">
        <is>
          <t>Mosque 22</t>
        </is>
      </c>
      <c r="C23" s="2" t="inlineStr"/>
      <c r="D23" s="2" t="inlineStr"/>
      <c r="E23" s="2" t="inlineStr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>
        <f>ROUND((AVERAGE(F23:T23)*0.6)+((U23+V23+W23+X23+Y23+Z23)/6*0.3)+(IF(AA23="Yes",5,2)*0.1),2)</f>
        <v/>
      </c>
    </row>
    <row r="24">
      <c r="A24" s="2" t="inlineStr">
        <is>
          <t>M023</t>
        </is>
      </c>
      <c r="B24" s="2" t="inlineStr">
        <is>
          <t>Mosque 23</t>
        </is>
      </c>
      <c r="C24" s="2" t="inlineStr"/>
      <c r="D24" s="2" t="inlineStr"/>
      <c r="E24" s="2" t="inlineStr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>
        <f>ROUND((AVERAGE(F24:T24)*0.6)+((U24+V24+W24+X24+Y24+Z24)/6*0.3)+(IF(AA24="Yes",5,2)*0.1),2)</f>
        <v/>
      </c>
    </row>
    <row r="25">
      <c r="A25" s="2" t="inlineStr">
        <is>
          <t>M024</t>
        </is>
      </c>
      <c r="B25" s="2" t="inlineStr">
        <is>
          <t>Mosque 24</t>
        </is>
      </c>
      <c r="C25" s="2" t="inlineStr"/>
      <c r="D25" s="2" t="inlineStr"/>
      <c r="E25" s="2" t="inlineStr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>
        <f>ROUND((AVERAGE(F25:T25)*0.6)+((U25+V25+W25+X25+Y25+Z25)/6*0.3)+(IF(AA25="Yes",5,2)*0.1),2)</f>
        <v/>
      </c>
    </row>
    <row r="26">
      <c r="A26" s="2" t="inlineStr">
        <is>
          <t>M025</t>
        </is>
      </c>
      <c r="B26" s="2" t="inlineStr">
        <is>
          <t>Mosque 25</t>
        </is>
      </c>
      <c r="C26" s="2" t="inlineStr"/>
      <c r="D26" s="2" t="inlineStr"/>
      <c r="E26" s="2" t="inlineStr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>
        <f>ROUND((AVERAGE(F26:T26)*0.6)+((U26+V26+W26+X26+Y26+Z26)/6*0.3)+(IF(AA26="Yes",5,2)*0.1),2)</f>
        <v/>
      </c>
    </row>
    <row r="27">
      <c r="A27" s="2" t="inlineStr">
        <is>
          <t>M026</t>
        </is>
      </c>
      <c r="B27" s="2" t="inlineStr">
        <is>
          <t>Mosque 26</t>
        </is>
      </c>
      <c r="C27" s="2" t="inlineStr"/>
      <c r="D27" s="2" t="inlineStr"/>
      <c r="E27" s="2" t="inlineStr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>
        <f>ROUND((AVERAGE(F27:T27)*0.6)+((U27+V27+W27+X27+Y27+Z27)/6*0.3)+(IF(AA27="Yes",5,2)*0.1),2)</f>
        <v/>
      </c>
    </row>
    <row r="28">
      <c r="A28" s="2" t="inlineStr">
        <is>
          <t>M027</t>
        </is>
      </c>
      <c r="B28" s="2" t="inlineStr">
        <is>
          <t>Mosque 27</t>
        </is>
      </c>
      <c r="C28" s="2" t="inlineStr"/>
      <c r="D28" s="2" t="inlineStr"/>
      <c r="E28" s="2" t="inlineStr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>
        <f>ROUND((AVERAGE(F28:T28)*0.6)+((U28+V28+W28+X28+Y28+Z28)/6*0.3)+(IF(AA28="Yes",5,2)*0.1),2)</f>
        <v/>
      </c>
    </row>
    <row r="29">
      <c r="A29" s="2" t="inlineStr">
        <is>
          <t>M028</t>
        </is>
      </c>
      <c r="B29" s="2" t="inlineStr">
        <is>
          <t>Mosque 28</t>
        </is>
      </c>
      <c r="C29" s="2" t="inlineStr"/>
      <c r="D29" s="2" t="inlineStr"/>
      <c r="E29" s="2" t="inlineStr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>
        <f>ROUND((AVERAGE(F29:T29)*0.6)+((U29+V29+W29+X29+Y29+Z29)/6*0.3)+(IF(AA29="Yes",5,2)*0.1),2)</f>
        <v/>
      </c>
    </row>
    <row r="30">
      <c r="A30" s="2" t="inlineStr">
        <is>
          <t>M029</t>
        </is>
      </c>
      <c r="B30" s="2" t="inlineStr">
        <is>
          <t>Mosque 29</t>
        </is>
      </c>
      <c r="C30" s="2" t="inlineStr"/>
      <c r="D30" s="2" t="inlineStr"/>
      <c r="E30" s="2" t="inlineStr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>
        <f>ROUND((AVERAGE(F30:T30)*0.6)+((U30+V30+W30+X30+Y30+Z30)/6*0.3)+(IF(AA30="Yes",5,2)*0.1),2)</f>
        <v/>
      </c>
    </row>
    <row r="31">
      <c r="A31" s="2" t="inlineStr">
        <is>
          <t>M030</t>
        </is>
      </c>
      <c r="B31" s="2" t="inlineStr">
        <is>
          <t>Mosque 30</t>
        </is>
      </c>
      <c r="C31" s="2" t="inlineStr"/>
      <c r="D31" s="2" t="inlineStr"/>
      <c r="E31" s="2" t="inlineStr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>
        <f>ROUND((AVERAGE(F31:T31)*0.6)+((U31+V31+W31+X31+Y31+Z31)/6*0.3)+(IF(AA31="Yes",5,2)*0.1),2)</f>
        <v/>
      </c>
    </row>
    <row r="32">
      <c r="A32" s="2" t="inlineStr">
        <is>
          <t>M031</t>
        </is>
      </c>
      <c r="B32" s="2" t="inlineStr">
        <is>
          <t>Mosque 31</t>
        </is>
      </c>
      <c r="C32" s="2" t="inlineStr"/>
      <c r="D32" s="2" t="inlineStr"/>
      <c r="E32" s="2" t="inlineStr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>
        <f>ROUND((AVERAGE(F32:T32)*0.6)+((U32+V32+W32+X32+Y32+Z32)/6*0.3)+(IF(AA32="Yes",5,2)*0.1),2)</f>
        <v/>
      </c>
    </row>
    <row r="33">
      <c r="A33" s="2" t="inlineStr">
        <is>
          <t>M032</t>
        </is>
      </c>
      <c r="B33" s="2" t="inlineStr">
        <is>
          <t>Mosque 32</t>
        </is>
      </c>
      <c r="C33" s="2" t="inlineStr"/>
      <c r="D33" s="2" t="inlineStr"/>
      <c r="E33" s="2" t="inlineStr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>
        <f>ROUND((AVERAGE(F33:T33)*0.6)+((U33+V33+W33+X33+Y33+Z33)/6*0.3)+(IF(AA33="Yes",5,2)*0.1),2)</f>
        <v/>
      </c>
    </row>
    <row r="34">
      <c r="A34" s="2" t="inlineStr">
        <is>
          <t>M033</t>
        </is>
      </c>
      <c r="B34" s="2" t="inlineStr">
        <is>
          <t>Mosque 33</t>
        </is>
      </c>
      <c r="C34" s="2" t="inlineStr"/>
      <c r="D34" s="2" t="inlineStr"/>
      <c r="E34" s="2" t="inlineStr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>
        <f>ROUND((AVERAGE(F34:T34)*0.6)+((U34+V34+W34+X34+Y34+Z34)/6*0.3)+(IF(AA34="Yes",5,2)*0.1),2)</f>
        <v/>
      </c>
    </row>
    <row r="35">
      <c r="A35" s="2" t="inlineStr">
        <is>
          <t>M034</t>
        </is>
      </c>
      <c r="B35" s="2" t="inlineStr">
        <is>
          <t>Mosque 34</t>
        </is>
      </c>
      <c r="C35" s="2" t="inlineStr"/>
      <c r="D35" s="2" t="inlineStr"/>
      <c r="E35" s="2" t="inlineStr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>
        <f>ROUND((AVERAGE(F35:T35)*0.6)+((U35+V35+W35+X35+Y35+Z35)/6*0.3)+(IF(AA35="Yes",5,2)*0.1),2)</f>
        <v/>
      </c>
    </row>
    <row r="36">
      <c r="A36" s="2" t="inlineStr">
        <is>
          <t>M035</t>
        </is>
      </c>
      <c r="B36" s="2" t="inlineStr">
        <is>
          <t>Mosque 35</t>
        </is>
      </c>
      <c r="C36" s="2" t="inlineStr"/>
      <c r="D36" s="2" t="inlineStr"/>
      <c r="E36" s="2" t="inlineStr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>
        <f>ROUND((AVERAGE(F36:T36)*0.6)+((U36+V36+W36+X36+Y36+Z36)/6*0.3)+(IF(AA36="Yes",5,2)*0.1),2)</f>
        <v/>
      </c>
    </row>
    <row r="37">
      <c r="A37" s="2" t="inlineStr">
        <is>
          <t>M036</t>
        </is>
      </c>
      <c r="B37" s="2" t="inlineStr">
        <is>
          <t>Mosque 36</t>
        </is>
      </c>
      <c r="C37" s="2" t="inlineStr"/>
      <c r="D37" s="2" t="inlineStr"/>
      <c r="E37" s="2" t="inlineStr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>
        <f>ROUND((AVERAGE(F37:T37)*0.6)+((U37+V37+W37+X37+Y37+Z37)/6*0.3)+(IF(AA37="Yes",5,2)*0.1),2)</f>
        <v/>
      </c>
    </row>
    <row r="38">
      <c r="A38" s="2" t="inlineStr">
        <is>
          <t>M037</t>
        </is>
      </c>
      <c r="B38" s="2" t="inlineStr">
        <is>
          <t>Mosque 37</t>
        </is>
      </c>
      <c r="C38" s="2" t="inlineStr"/>
      <c r="D38" s="2" t="inlineStr"/>
      <c r="E38" s="2" t="inlineStr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>
        <f>ROUND((AVERAGE(F38:T38)*0.6)+((U38+V38+W38+X38+Y38+Z38)/6*0.3)+(IF(AA38="Yes",5,2)*0.1),2)</f>
        <v/>
      </c>
    </row>
  </sheetData>
  <conditionalFormatting sqref="F2:T38">
    <cfRule type="colorScale" priority="1">
      <colorScale>
        <cfvo type="min"/>
        <cfvo type="percentile" val="50"/>
        <cfvo type="max"/>
        <color rgb="00FFC7CE"/>
        <color rgb="00FFEB84"/>
        <color rgb="0063BE7B"/>
      </colorScale>
    </cfRule>
  </conditionalFormatting>
  <conditionalFormatting sqref="AB2:AB38">
    <cfRule type="colorScale" priority="2">
      <colorScale>
        <cfvo type="min"/>
        <cfvo type="percentile" val="50"/>
        <cfvo type="max"/>
        <color rgb="00FFC7CE"/>
        <color rgb="00FFEB84"/>
        <color rgb="0063BE7B"/>
      </colorScale>
    </cfRule>
  </conditionalFormatting>
  <dataValidations count="2">
    <dataValidation sqref="F2:T38 W2:W38" showDropDown="0" showInputMessage="0" showErrorMessage="0" allowBlank="1" type="list">
      <formula1>"1,2,3,4,5"</formula1>
    </dataValidation>
    <dataValidation sqref="AA2:AA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Mosque Name</t>
        </is>
      </c>
      <c r="B1" s="1" t="inlineStr">
        <is>
          <t>Overall Score</t>
        </is>
      </c>
      <c r="E1" s="3" t="inlineStr">
        <is>
          <t>Top 5 Performing Mosques</t>
        </is>
      </c>
      <c r="H1" s="3" t="inlineStr">
        <is>
          <t>Needs Improvement</t>
        </is>
      </c>
    </row>
    <row r="2">
      <c r="A2">
        <f>'Mosque Performance'!B2</f>
        <v/>
      </c>
      <c r="B2">
        <f>'Mosque Performance'!AB2</f>
        <v/>
      </c>
      <c r="E2">
        <f>INDEX(A$2:A$38,MATCH(LARGE(B$2:B$38,1),B$2:B$38,0))</f>
        <v/>
      </c>
      <c r="F2">
        <f>LARGE(B$2:B$38,1)</f>
        <v/>
      </c>
      <c r="H2">
        <f>INDEX(A$2:A$38,MATCH(SMALL(B$2:B$38,1),B$2:B$38,0))</f>
        <v/>
      </c>
      <c r="I2">
        <f>SMALL(B$2:B$38,1)</f>
        <v/>
      </c>
    </row>
    <row r="3">
      <c r="A3">
        <f>'Mosque Performance'!B3</f>
        <v/>
      </c>
      <c r="B3">
        <f>'Mosque Performance'!AB3</f>
        <v/>
      </c>
      <c r="E3">
        <f>INDEX(A$2:A$38,MATCH(LARGE(B$2:B$38,2),B$2:B$38,0))</f>
        <v/>
      </c>
      <c r="F3">
        <f>LARGE(B$2:B$38,2)</f>
        <v/>
      </c>
      <c r="H3">
        <f>INDEX(A$2:A$38,MATCH(SMALL(B$2:B$38,2),B$2:B$38,0))</f>
        <v/>
      </c>
      <c r="I3">
        <f>SMALL(B$2:B$38,2)</f>
        <v/>
      </c>
    </row>
    <row r="4">
      <c r="A4">
        <f>'Mosque Performance'!B4</f>
        <v/>
      </c>
      <c r="B4">
        <f>'Mosque Performance'!AB4</f>
        <v/>
      </c>
      <c r="E4">
        <f>INDEX(A$2:A$38,MATCH(LARGE(B$2:B$38,3),B$2:B$38,0))</f>
        <v/>
      </c>
      <c r="F4">
        <f>LARGE(B$2:B$38,3)</f>
        <v/>
      </c>
      <c r="H4">
        <f>INDEX(A$2:A$38,MATCH(SMALL(B$2:B$38,3),B$2:B$38,0))</f>
        <v/>
      </c>
      <c r="I4">
        <f>SMALL(B$2:B$38,3)</f>
        <v/>
      </c>
    </row>
    <row r="5">
      <c r="A5">
        <f>'Mosque Performance'!B5</f>
        <v/>
      </c>
      <c r="B5">
        <f>'Mosque Performance'!AB5</f>
        <v/>
      </c>
      <c r="E5">
        <f>INDEX(A$2:A$38,MATCH(LARGE(B$2:B$38,4),B$2:B$38,0))</f>
        <v/>
      </c>
      <c r="F5">
        <f>LARGE(B$2:B$38,4)</f>
        <v/>
      </c>
      <c r="H5">
        <f>INDEX(A$2:A$38,MATCH(SMALL(B$2:B$38,4),B$2:B$38,0))</f>
        <v/>
      </c>
      <c r="I5">
        <f>SMALL(B$2:B$38,4)</f>
        <v/>
      </c>
    </row>
    <row r="6">
      <c r="A6">
        <f>'Mosque Performance'!B6</f>
        <v/>
      </c>
      <c r="B6">
        <f>'Mosque Performance'!AB6</f>
        <v/>
      </c>
      <c r="E6">
        <f>INDEX(A$2:A$38,MATCH(LARGE(B$2:B$38,5),B$2:B$38,0))</f>
        <v/>
      </c>
      <c r="F6">
        <f>LARGE(B$2:B$38,5)</f>
        <v/>
      </c>
      <c r="H6">
        <f>INDEX(A$2:A$38,MATCH(SMALL(B$2:B$38,5),B$2:B$38,0))</f>
        <v/>
      </c>
      <c r="I6">
        <f>SMALL(B$2:B$38,5)</f>
        <v/>
      </c>
    </row>
    <row r="7">
      <c r="A7">
        <f>'Mosque Performance'!B7</f>
        <v/>
      </c>
      <c r="B7">
        <f>'Mosque Performance'!AB7</f>
        <v/>
      </c>
    </row>
    <row r="8">
      <c r="A8">
        <f>'Mosque Performance'!B8</f>
        <v/>
      </c>
      <c r="B8">
        <f>'Mosque Performance'!AB8</f>
        <v/>
      </c>
    </row>
    <row r="9">
      <c r="A9">
        <f>'Mosque Performance'!B9</f>
        <v/>
      </c>
      <c r="B9">
        <f>'Mosque Performance'!AB9</f>
        <v/>
      </c>
    </row>
    <row r="10">
      <c r="A10">
        <f>'Mosque Performance'!B10</f>
        <v/>
      </c>
      <c r="B10">
        <f>'Mosque Performance'!AB10</f>
        <v/>
      </c>
    </row>
    <row r="11">
      <c r="A11">
        <f>'Mosque Performance'!B11</f>
        <v/>
      </c>
      <c r="B11">
        <f>'Mosque Performance'!AB11</f>
        <v/>
      </c>
    </row>
    <row r="12">
      <c r="A12">
        <f>'Mosque Performance'!B12</f>
        <v/>
      </c>
      <c r="B12">
        <f>'Mosque Performance'!AB12</f>
        <v/>
      </c>
    </row>
    <row r="13">
      <c r="A13">
        <f>'Mosque Performance'!B13</f>
        <v/>
      </c>
      <c r="B13">
        <f>'Mosque Performance'!AB13</f>
        <v/>
      </c>
    </row>
    <row r="14">
      <c r="A14">
        <f>'Mosque Performance'!B14</f>
        <v/>
      </c>
      <c r="B14">
        <f>'Mosque Performance'!AB14</f>
        <v/>
      </c>
    </row>
    <row r="15">
      <c r="A15">
        <f>'Mosque Performance'!B15</f>
        <v/>
      </c>
      <c r="B15">
        <f>'Mosque Performance'!AB15</f>
        <v/>
      </c>
    </row>
    <row r="16">
      <c r="A16">
        <f>'Mosque Performance'!B16</f>
        <v/>
      </c>
      <c r="B16">
        <f>'Mosque Performance'!AB16</f>
        <v/>
      </c>
    </row>
    <row r="17">
      <c r="A17">
        <f>'Mosque Performance'!B17</f>
        <v/>
      </c>
      <c r="B17">
        <f>'Mosque Performance'!AB17</f>
        <v/>
      </c>
    </row>
    <row r="18">
      <c r="A18">
        <f>'Mosque Performance'!B18</f>
        <v/>
      </c>
      <c r="B18">
        <f>'Mosque Performance'!AB18</f>
        <v/>
      </c>
    </row>
    <row r="19">
      <c r="A19">
        <f>'Mosque Performance'!B19</f>
        <v/>
      </c>
      <c r="B19">
        <f>'Mosque Performance'!AB19</f>
        <v/>
      </c>
    </row>
    <row r="20">
      <c r="A20">
        <f>'Mosque Performance'!B20</f>
        <v/>
      </c>
      <c r="B20">
        <f>'Mosque Performance'!AB20</f>
        <v/>
      </c>
    </row>
    <row r="21">
      <c r="A21">
        <f>'Mosque Performance'!B21</f>
        <v/>
      </c>
      <c r="B21">
        <f>'Mosque Performance'!AB21</f>
        <v/>
      </c>
    </row>
    <row r="22">
      <c r="A22">
        <f>'Mosque Performance'!B22</f>
        <v/>
      </c>
      <c r="B22">
        <f>'Mosque Performance'!AB22</f>
        <v/>
      </c>
    </row>
    <row r="23">
      <c r="A23">
        <f>'Mosque Performance'!B23</f>
        <v/>
      </c>
      <c r="B23">
        <f>'Mosque Performance'!AB23</f>
        <v/>
      </c>
    </row>
    <row r="24">
      <c r="A24">
        <f>'Mosque Performance'!B24</f>
        <v/>
      </c>
      <c r="B24">
        <f>'Mosque Performance'!AB24</f>
        <v/>
      </c>
    </row>
    <row r="25">
      <c r="A25">
        <f>'Mosque Performance'!B25</f>
        <v/>
      </c>
      <c r="B25">
        <f>'Mosque Performance'!AB25</f>
        <v/>
      </c>
    </row>
    <row r="26">
      <c r="A26">
        <f>'Mosque Performance'!B26</f>
        <v/>
      </c>
      <c r="B26">
        <f>'Mosque Performance'!AB26</f>
        <v/>
      </c>
    </row>
    <row r="27">
      <c r="A27">
        <f>'Mosque Performance'!B27</f>
        <v/>
      </c>
      <c r="B27">
        <f>'Mosque Performance'!AB27</f>
        <v/>
      </c>
    </row>
    <row r="28">
      <c r="A28">
        <f>'Mosque Performance'!B28</f>
        <v/>
      </c>
      <c r="B28">
        <f>'Mosque Performance'!AB28</f>
        <v/>
      </c>
    </row>
    <row r="29">
      <c r="A29">
        <f>'Mosque Performance'!B29</f>
        <v/>
      </c>
      <c r="B29">
        <f>'Mosque Performance'!AB29</f>
        <v/>
      </c>
    </row>
    <row r="30">
      <c r="A30">
        <f>'Mosque Performance'!B30</f>
        <v/>
      </c>
      <c r="B30">
        <f>'Mosque Performance'!AB30</f>
        <v/>
      </c>
    </row>
    <row r="31">
      <c r="A31">
        <f>'Mosque Performance'!B31</f>
        <v/>
      </c>
      <c r="B31">
        <f>'Mosque Performance'!AB31</f>
        <v/>
      </c>
    </row>
    <row r="32">
      <c r="A32">
        <f>'Mosque Performance'!B32</f>
        <v/>
      </c>
      <c r="B32">
        <f>'Mosque Performance'!AB32</f>
        <v/>
      </c>
    </row>
    <row r="33">
      <c r="A33">
        <f>'Mosque Performance'!B33</f>
        <v/>
      </c>
      <c r="B33">
        <f>'Mosque Performance'!AB33</f>
        <v/>
      </c>
    </row>
    <row r="34">
      <c r="A34">
        <f>'Mosque Performance'!B34</f>
        <v/>
      </c>
      <c r="B34">
        <f>'Mosque Performance'!AB34</f>
        <v/>
      </c>
    </row>
    <row r="35">
      <c r="A35">
        <f>'Mosque Performance'!B35</f>
        <v/>
      </c>
      <c r="B35">
        <f>'Mosque Performance'!AB35</f>
        <v/>
      </c>
    </row>
    <row r="36">
      <c r="A36">
        <f>'Mosque Performance'!B36</f>
        <v/>
      </c>
      <c r="B36">
        <f>'Mosque Performance'!AB36</f>
        <v/>
      </c>
    </row>
    <row r="37">
      <c r="A37">
        <f>'Mosque Performance'!B37</f>
        <v/>
      </c>
      <c r="B37">
        <f>'Mosque Performance'!AB37</f>
        <v/>
      </c>
    </row>
    <row r="38">
      <c r="A38">
        <f>'Mosque Performance'!B38</f>
        <v/>
      </c>
      <c r="B38">
        <f>'Mosque Performance'!AB38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Markaz Consolidated Report</t>
        </is>
      </c>
    </row>
    <row r="3">
      <c r="A3" s="5" t="inlineStr">
        <is>
          <t>Total Mosques</t>
        </is>
      </c>
      <c r="B3">
        <f>COUNTA('Mosque Performance'!B2:B38)</f>
        <v/>
      </c>
    </row>
    <row r="4">
      <c r="A4" s="5" t="inlineStr">
        <is>
          <t>Average Performance Score</t>
        </is>
      </c>
      <c r="B4">
        <f>AVERAGE('Mosque Performance'!AB2:AB38)</f>
        <v/>
      </c>
    </row>
    <row r="5">
      <c r="A5" s="5" t="inlineStr">
        <is>
          <t>Highest Score</t>
        </is>
      </c>
      <c r="B5">
        <f>MAX('Mosque Performance'!AB2:AB38)</f>
        <v/>
      </c>
    </row>
    <row r="6">
      <c r="A6" s="5" t="inlineStr">
        <is>
          <t>Lowest Score</t>
        </is>
      </c>
      <c r="B6">
        <f>MIN('Mosque Performance'!AB2:AB38)</f>
        <v/>
      </c>
    </row>
    <row r="7">
      <c r="A7" s="5" t="inlineStr">
        <is>
          <t>Mosques Above 80</t>
        </is>
      </c>
      <c r="B7">
        <f>COUNTIF('Mosque Performance'!AB2:AB38,"&gt;=80")</f>
        <v/>
      </c>
    </row>
    <row r="8">
      <c r="A8" s="5" t="inlineStr">
        <is>
          <t>Mosques Below 50</t>
        </is>
      </c>
      <c r="B8">
        <f>COUNTIF('Mosque Performance'!AB2:AB38,"&lt;50")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2026-05-24T11:13:15Z</dcterms:created>
  <dcterms:modified xmlns:dcterms="http://purl.org/dc/terms/" xmlns:xsi="http://www.w3.org/2001/XMLSchema-instance" xsi:type="dcterms:W3CDTF">2026-05-24T11:13:15Z</dcterms:modified>
</cp:coreProperties>
</file>